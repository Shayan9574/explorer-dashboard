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https://azureford-my.sharepoint.com/personal/lsnook3_ford_com/Documents/Interview Docs/Sales &amp; Marketing/"/>
    </mc:Choice>
  </mc:AlternateContent>
  <xr:revisionPtr revIDLastSave="0" documentId="8_{E9044980-2882-40BF-9487-E7CA5EFB8A88}" xr6:coauthVersionLast="47" xr6:coauthVersionMax="47" xr10:uidLastSave="{00000000-0000-0000-0000-000000000000}"/>
  <bookViews>
    <workbookView xWindow="-98" yWindow="-98" windowWidth="19396" windowHeight="11475" activeTab="1" xr2:uid="{00000000-000D-0000-FFFF-FFFF00000000}"/>
  </bookViews>
  <sheets>
    <sheet name="Inteview Question" sheetId="2" r:id="rId1"/>
    <sheet name="Data"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P34" i="1"/>
  <c r="O34" i="1"/>
  <c r="N34" i="1"/>
  <c r="M34" i="1"/>
  <c r="L34" i="1"/>
  <c r="P33" i="1"/>
  <c r="O33" i="1"/>
  <c r="N33" i="1"/>
  <c r="M33" i="1"/>
  <c r="L33" i="1"/>
  <c r="P32" i="1"/>
  <c r="O32" i="1"/>
  <c r="N32" i="1"/>
  <c r="M32" i="1"/>
  <c r="L32" i="1"/>
  <c r="P31" i="1"/>
  <c r="O31" i="1"/>
  <c r="N31" i="1"/>
  <c r="M31" i="1"/>
  <c r="L31" i="1"/>
  <c r="P30" i="1"/>
  <c r="O30" i="1"/>
  <c r="N30" i="1"/>
  <c r="M30" i="1"/>
  <c r="L30" i="1"/>
  <c r="P29" i="1"/>
  <c r="O29" i="1"/>
  <c r="N29" i="1"/>
  <c r="M29" i="1"/>
  <c r="L29" i="1"/>
  <c r="P28" i="1"/>
  <c r="O28" i="1"/>
  <c r="N28" i="1"/>
  <c r="M28" i="1"/>
  <c r="L28" i="1"/>
  <c r="K34" i="1"/>
  <c r="K33" i="1"/>
  <c r="K32" i="1"/>
  <c r="K31" i="1"/>
  <c r="K30" i="1"/>
  <c r="K29" i="1"/>
  <c r="K28" i="1"/>
  <c r="G34" i="1"/>
  <c r="F34" i="1"/>
  <c r="E34" i="1"/>
  <c r="D34" i="1"/>
  <c r="C34" i="1"/>
  <c r="G33" i="1"/>
  <c r="F33" i="1"/>
  <c r="E33" i="1"/>
  <c r="D33" i="1"/>
  <c r="C33" i="1"/>
  <c r="G32" i="1"/>
  <c r="F32" i="1"/>
  <c r="E32" i="1"/>
  <c r="D32" i="1"/>
  <c r="C32" i="1"/>
  <c r="G31" i="1"/>
  <c r="F31" i="1"/>
  <c r="E31" i="1"/>
  <c r="D31" i="1"/>
  <c r="C31" i="1"/>
  <c r="G30" i="1"/>
  <c r="F30" i="1"/>
  <c r="E30" i="1"/>
  <c r="D30" i="1"/>
  <c r="C30" i="1"/>
  <c r="G29" i="1"/>
  <c r="F29" i="1"/>
  <c r="E29" i="1"/>
  <c r="D29" i="1"/>
  <c r="C29" i="1"/>
  <c r="G28" i="1"/>
  <c r="F28" i="1"/>
  <c r="E28" i="1"/>
  <c r="D28" i="1"/>
  <c r="C28" i="1"/>
  <c r="B34" i="1"/>
  <c r="B33" i="1"/>
  <c r="B32" i="1"/>
  <c r="B31" i="1"/>
  <c r="B30" i="1"/>
  <c r="B29" i="1"/>
</calcChain>
</file>

<file path=xl/sharedStrings.xml><?xml version="1.0" encoding="utf-8"?>
<sst xmlns="http://schemas.openxmlformats.org/spreadsheetml/2006/main" count="62" uniqueCount="37">
  <si>
    <t>Program A</t>
  </si>
  <si>
    <t>In Q2 of 2025, Ford instituted a unique marketing program called "From America For America" in the U.S. offering "employee pricing for all".</t>
  </si>
  <si>
    <t>Program B</t>
  </si>
  <si>
    <t>In Q3 of 2025, Ford utilized a standard marketing program with low APR and attractive lease offerings</t>
  </si>
  <si>
    <t>1)</t>
  </si>
  <si>
    <t>2)</t>
  </si>
  <si>
    <t>What are the benefits of Program A?  What are the downsides?</t>
  </si>
  <si>
    <t>3)</t>
  </si>
  <si>
    <t>What are the benefits of Program B?  What are the downsides?</t>
  </si>
  <si>
    <t>Source: Smartboard</t>
  </si>
  <si>
    <t>Volume</t>
  </si>
  <si>
    <t>date(year_month,'MM/YY')</t>
  </si>
  <si>
    <t>Explorer</t>
  </si>
  <si>
    <t>Traverse</t>
  </si>
  <si>
    <t>Highlander</t>
  </si>
  <si>
    <t>Pilot</t>
  </si>
  <si>
    <t>Palisade</t>
  </si>
  <si>
    <t>Telluride</t>
  </si>
  <si>
    <t>Segment</t>
  </si>
  <si>
    <t>Q1 2024</t>
  </si>
  <si>
    <t>Q2 2024</t>
  </si>
  <si>
    <t>Q3 2024</t>
  </si>
  <si>
    <t>Q4 2024</t>
  </si>
  <si>
    <t>Q1 2025</t>
  </si>
  <si>
    <t>Q2 2025</t>
  </si>
  <si>
    <t>Q3 2025</t>
  </si>
  <si>
    <t>You are the brand manager responsible for managing the business operations of the Explorer vehicle line, including sales, product mix, and profitability.</t>
  </si>
  <si>
    <t>To help with future product decisions you decide to calculate the price elasticity of Explorer using recent sales and transaction price actuals.  Use the data on the next tab to estimate the price elasticity of the Ford Explorer</t>
  </si>
  <si>
    <t xml:space="preserve">Pre-Interview Work: </t>
  </si>
  <si>
    <t>Prepare a one page document that details:</t>
  </si>
  <si>
    <t>How do the two sales programs compare to the baseline estimated elasticity for the Ford Explorer?</t>
  </si>
  <si>
    <t>4)</t>
  </si>
  <si>
    <t>As you are reviewing your Explorer performance, you decide to evaluate two recent sales initiatives to determined which one to deploy again in 2026:</t>
  </si>
  <si>
    <t>Average Transaction Price</t>
  </si>
  <si>
    <t>Feel free to include an additional helpful visual aids or segment insights that may impact your analysis and decision for 2026 strategy</t>
  </si>
  <si>
    <t>Estimated Explorer price elasticity that should be used to make go to market decisions in 2026</t>
  </si>
  <si>
    <t>Note: The 2025MY Explorer launched a mid-cycle referesh in August 2024CY, with an updated interior and new "tech" features, increasing the demand for Explorer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</si>
</sst>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mm/yy"/>
    <numFmt numFmtId="166" formatCode="_(&quot;$&quot;* #,##0_);_(&quot;$&quot;* \(#,##0\);_(&quot;$&quot;* &quot;-&quot;??_);_(@_)"/>
  </numFmts>
  <fonts count="5" x14ac:knownFonts="1">
    <font>
      <sz val="10"/>
      <color theme="1"/>
      <name val="Arial"/>
      <family val="2"/>
    </font>
    <font>
      <sz val="10"/>
      <color theme="1"/>
      <name val="Arial"/>
      <family val="2"/>
    </font>
    <font>
      <b/>
      <sz val="10"/>
      <color theme="1"/>
      <name val="Arial"/>
      <family val="2"/>
    </font>
    <font>
      <b/>
      <u/>
      <sz val="10"/>
      <color theme="1"/>
      <name val="Arial"/>
      <family val="2"/>
    </font>
    <font>
      <i/>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165" fontId="0" fillId="0" borderId="0" xfId="0" applyNumberFormat="1"/>
    <xf numFmtId="164" fontId="0" fillId="0" borderId="0" xfId="0" applyNumberFormat="1"/>
    <xf numFmtId="3" fontId="0" fillId="0" borderId="0" xfId="0" applyNumberFormat="1"/>
    <xf numFmtId="166" fontId="0" fillId="0" borderId="0" xfId="1" applyNumberFormat="1" applyFont="1"/>
    <xf numFmtId="0" fontId="2" fillId="0" borderId="0" xfId="0" applyFont="1"/>
    <xf numFmtId="0" fontId="0" fillId="0" borderId="0" xfId="0" quotePrefix="1"/>
    <xf numFmtId="0" fontId="0" fillId="0" borderId="0" xfId="0" applyAlignment="1">
      <alignment horizontal="left" wrapText="1"/>
    </xf>
    <xf numFmtId="0" fontId="4" fillId="0" borderId="0" xfId="0" applyFont="1"/>
    <xf numFmtId="0" fontId="3" fillId="0" borderId="0" xfId="0" applyFont="1"/>
    <xf numFmtId="0" fontId="0" fillId="0" borderId="0" xfId="0" applyAlignment="1">
      <alignment horizontal="lef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217C1-D58B-4B0A-9174-2DCC798D6368}">
  <sheetPr>
    <pageSetUpPr fitToPage="1"/>
  </sheetPr>
  <dimension ref="B3:L31"/>
  <sheetViews>
    <sheetView view="pageLayout" zoomScaleNormal="100" workbookViewId="0">
      <selection activeCell="N3" sqref="N3"/>
    </sheetView>
  </sheetViews>
  <sheetFormatPr defaultColWidth="9.1328125" defaultRowHeight="12.75" x14ac:dyDescent="0.35"/>
  <cols>
    <col min="1" max="3" width="2.6640625" customWidth="1"/>
    <col min="13" max="13" width="2.53125" customWidth="1"/>
  </cols>
  <sheetData>
    <row r="3" spans="2:12" x14ac:dyDescent="0.35">
      <c r="B3" s="10" t="s">
        <v>26</v>
      </c>
      <c r="C3" s="10"/>
      <c r="D3" s="10"/>
      <c r="E3" s="10"/>
      <c r="F3" s="10"/>
      <c r="G3" s="10"/>
      <c r="H3" s="10"/>
      <c r="I3" s="10"/>
      <c r="J3" s="10"/>
      <c r="K3" s="10"/>
      <c r="L3" s="10"/>
    </row>
    <row r="4" spans="2:12" x14ac:dyDescent="0.35">
      <c r="B4" s="10"/>
      <c r="C4" s="10"/>
      <c r="D4" s="10"/>
      <c r="E4" s="10"/>
      <c r="F4" s="10"/>
      <c r="G4" s="10"/>
      <c r="H4" s="10"/>
      <c r="I4" s="10"/>
      <c r="J4" s="10"/>
      <c r="K4" s="10"/>
      <c r="L4" s="10"/>
    </row>
    <row r="6" spans="2:12" x14ac:dyDescent="0.35">
      <c r="B6" s="10" t="s">
        <v>27</v>
      </c>
      <c r="C6" s="10"/>
      <c r="D6" s="10"/>
      <c r="E6" s="10"/>
      <c r="F6" s="10"/>
      <c r="G6" s="10"/>
      <c r="H6" s="10"/>
      <c r="I6" s="10"/>
      <c r="J6" s="10"/>
      <c r="K6" s="10"/>
      <c r="L6" s="10"/>
    </row>
    <row r="7" spans="2:12" x14ac:dyDescent="0.35">
      <c r="B7" s="10"/>
      <c r="C7" s="10"/>
      <c r="D7" s="10"/>
      <c r="E7" s="10"/>
      <c r="F7" s="10"/>
      <c r="G7" s="10"/>
      <c r="H7" s="10"/>
      <c r="I7" s="10"/>
      <c r="J7" s="10"/>
      <c r="K7" s="10"/>
      <c r="L7" s="10"/>
    </row>
    <row r="8" spans="2:12" x14ac:dyDescent="0.35">
      <c r="B8" s="10"/>
      <c r="C8" s="10"/>
      <c r="D8" s="10"/>
      <c r="E8" s="10"/>
      <c r="F8" s="10"/>
      <c r="G8" s="10"/>
      <c r="H8" s="10"/>
      <c r="I8" s="10"/>
      <c r="J8" s="10"/>
      <c r="K8" s="10"/>
      <c r="L8" s="10"/>
    </row>
    <row r="10" spans="2:12" x14ac:dyDescent="0.35">
      <c r="B10" s="10" t="s">
        <v>32</v>
      </c>
      <c r="C10" s="10"/>
      <c r="D10" s="10"/>
      <c r="E10" s="10"/>
      <c r="F10" s="10"/>
      <c r="G10" s="10"/>
      <c r="H10" s="10"/>
      <c r="I10" s="10"/>
      <c r="J10" s="10"/>
      <c r="K10" s="10"/>
      <c r="L10" s="10"/>
    </row>
    <row r="11" spans="2:12" x14ac:dyDescent="0.35">
      <c r="B11" s="10"/>
      <c r="C11" s="10"/>
      <c r="D11" s="10"/>
      <c r="E11" s="10"/>
      <c r="F11" s="10"/>
      <c r="G11" s="10"/>
      <c r="H11" s="10"/>
      <c r="I11" s="10"/>
      <c r="J11" s="10"/>
      <c r="K11" s="10"/>
      <c r="L11" s="10"/>
    </row>
    <row r="12" spans="2:12" ht="4.45" customHeight="1" x14ac:dyDescent="0.35"/>
    <row r="13" spans="2:12" x14ac:dyDescent="0.35">
      <c r="C13" s="8" t="s">
        <v>0</v>
      </c>
      <c r="E13" s="10" t="s">
        <v>1</v>
      </c>
      <c r="F13" s="10"/>
      <c r="G13" s="10"/>
      <c r="H13" s="10"/>
      <c r="I13" s="10"/>
      <c r="J13" s="10"/>
      <c r="K13" s="10"/>
      <c r="L13" s="10"/>
    </row>
    <row r="14" spans="2:12" x14ac:dyDescent="0.35">
      <c r="E14" s="10"/>
      <c r="F14" s="10"/>
      <c r="G14" s="10"/>
      <c r="H14" s="10"/>
      <c r="I14" s="10"/>
      <c r="J14" s="10"/>
      <c r="K14" s="10"/>
      <c r="L14" s="10"/>
    </row>
    <row r="15" spans="2:12" ht="4.45" customHeight="1" x14ac:dyDescent="0.35">
      <c r="E15" s="7"/>
      <c r="F15" s="7"/>
      <c r="G15" s="7"/>
      <c r="H15" s="7"/>
      <c r="I15" s="7"/>
      <c r="J15" s="7"/>
      <c r="K15" s="7"/>
      <c r="L15" s="7"/>
    </row>
    <row r="16" spans="2:12" x14ac:dyDescent="0.35">
      <c r="C16" s="8" t="s">
        <v>2</v>
      </c>
      <c r="E16" s="10" t="s">
        <v>3</v>
      </c>
      <c r="F16" s="10"/>
      <c r="G16" s="10"/>
      <c r="H16" s="10"/>
      <c r="I16" s="10"/>
      <c r="J16" s="10"/>
      <c r="K16" s="10"/>
      <c r="L16" s="10"/>
    </row>
    <row r="17" spans="2:12" x14ac:dyDescent="0.35">
      <c r="E17" s="10"/>
      <c r="F17" s="10"/>
      <c r="G17" s="10"/>
      <c r="H17" s="10"/>
      <c r="I17" s="10"/>
      <c r="J17" s="10"/>
      <c r="K17" s="10"/>
      <c r="L17" s="10"/>
    </row>
    <row r="19" spans="2:12" ht="13.15" x14ac:dyDescent="0.4">
      <c r="B19" s="9" t="s">
        <v>28</v>
      </c>
    </row>
    <row r="20" spans="2:12" x14ac:dyDescent="0.35">
      <c r="B20" t="s">
        <v>29</v>
      </c>
    </row>
    <row r="21" spans="2:12" ht="4.45" customHeight="1" x14ac:dyDescent="0.35"/>
    <row r="22" spans="2:12" x14ac:dyDescent="0.35">
      <c r="C22" s="6" t="s">
        <v>4</v>
      </c>
      <c r="D22" t="s">
        <v>35</v>
      </c>
    </row>
    <row r="23" spans="2:12" x14ac:dyDescent="0.35">
      <c r="C23" s="6" t="s">
        <v>5</v>
      </c>
      <c r="D23" t="s">
        <v>30</v>
      </c>
    </row>
    <row r="24" spans="2:12" x14ac:dyDescent="0.35">
      <c r="C24" s="6" t="s">
        <v>7</v>
      </c>
      <c r="D24" t="s">
        <v>6</v>
      </c>
    </row>
    <row r="25" spans="2:12" x14ac:dyDescent="0.35">
      <c r="C25" t="s">
        <v>31</v>
      </c>
      <c r="D25" t="s">
        <v>8</v>
      </c>
    </row>
    <row r="27" spans="2:12" x14ac:dyDescent="0.35">
      <c r="B27" s="10" t="s">
        <v>34</v>
      </c>
      <c r="C27" s="10"/>
      <c r="D27" s="10"/>
      <c r="E27" s="10"/>
      <c r="F27" s="10"/>
      <c r="G27" s="10"/>
      <c r="H27" s="10"/>
      <c r="I27" s="10"/>
      <c r="J27" s="10"/>
      <c r="K27" s="10"/>
      <c r="L27" s="10"/>
    </row>
    <row r="28" spans="2:12" x14ac:dyDescent="0.35">
      <c r="B28" s="10"/>
      <c r="C28" s="10"/>
      <c r="D28" s="10"/>
      <c r="E28" s="10"/>
      <c r="F28" s="10"/>
      <c r="G28" s="10"/>
      <c r="H28" s="10"/>
      <c r="I28" s="10"/>
      <c r="J28" s="10"/>
      <c r="K28" s="10"/>
      <c r="L28" s="10"/>
    </row>
    <row r="30" spans="2:12" x14ac:dyDescent="0.35">
      <c r="B30" s="10" t="s">
        <v>36</v>
      </c>
      <c r="C30" s="10"/>
      <c r="D30" s="10"/>
      <c r="E30" s="10"/>
      <c r="F30" s="10"/>
      <c r="G30" s="10"/>
      <c r="H30" s="10"/>
      <c r="I30" s="10"/>
      <c r="J30" s="10"/>
      <c r="K30" s="10"/>
      <c r="L30" s="10"/>
    </row>
    <row r="31" spans="2:12" x14ac:dyDescent="0.35">
      <c r="B31" s="10"/>
      <c r="C31" s="10"/>
      <c r="D31" s="10"/>
      <c r="E31" s="10"/>
      <c r="F31" s="10"/>
      <c r="G31" s="10"/>
      <c r="H31" s="10"/>
      <c r="I31" s="10"/>
      <c r="J31" s="10"/>
      <c r="K31" s="10"/>
      <c r="L31" s="10"/>
    </row>
  </sheetData>
  <mergeCells count="7">
    <mergeCell ref="B30:L31"/>
    <mergeCell ref="B3:L4"/>
    <mergeCell ref="B6:L8"/>
    <mergeCell ref="E13:L14"/>
    <mergeCell ref="E16:L17"/>
    <mergeCell ref="B10:L11"/>
    <mergeCell ref="B27:L28"/>
  </mergeCells>
  <pageMargins left="0.25" right="0.25" top="0.75" bottom="0.75" header="0.3" footer="0.3"/>
  <pageSetup orientation="portrait" r:id="rId1"/>
  <headerFooter>
    <oddHeader>&amp;CYield Management
&amp;"Arial,Bold"&amp;UDATA SCIENTIST INTERVIEW BUSINESS CASE&amp;"Arial,Regular"&amp;U
&amp;"Arial,Italic"(2026)</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7C4EB-885C-4550-838D-2236B915B9A7}">
  <dimension ref="A1:P34"/>
  <sheetViews>
    <sheetView tabSelected="1" topLeftCell="A21" workbookViewId="0">
      <selection activeCell="U24" sqref="U24"/>
    </sheetView>
  </sheetViews>
  <sheetFormatPr defaultRowHeight="12.75" x14ac:dyDescent="0.35"/>
  <cols>
    <col min="2" max="3" width="13.1328125" bestFit="1" customWidth="1"/>
    <col min="4" max="4" width="18.3984375" customWidth="1"/>
    <col min="5" max="5" width="15.3984375" customWidth="1"/>
    <col min="6" max="6" width="14.3984375" bestFit="1" customWidth="1"/>
    <col min="7" max="7" width="13.1328125" bestFit="1" customWidth="1"/>
    <col min="8" max="8" width="14.3984375" bestFit="1" customWidth="1"/>
    <col min="10" max="10" width="14.3984375" bestFit="1" customWidth="1"/>
    <col min="11" max="11" width="10" bestFit="1" customWidth="1"/>
  </cols>
  <sheetData>
    <row r="1" spans="1:16" x14ac:dyDescent="0.35">
      <c r="A1" t="s">
        <v>9</v>
      </c>
    </row>
    <row r="2" spans="1:16" ht="13.15" x14ac:dyDescent="0.4">
      <c r="A2" s="5" t="s">
        <v>33</v>
      </c>
      <c r="J2" s="5" t="s">
        <v>10</v>
      </c>
    </row>
    <row r="3" spans="1:16" x14ac:dyDescent="0.35">
      <c r="A3" t="s">
        <v>11</v>
      </c>
      <c r="B3" t="s">
        <v>12</v>
      </c>
      <c r="C3" t="s">
        <v>13</v>
      </c>
      <c r="D3" t="s">
        <v>14</v>
      </c>
      <c r="E3" t="s">
        <v>15</v>
      </c>
      <c r="F3" t="s">
        <v>16</v>
      </c>
      <c r="G3" t="s">
        <v>17</v>
      </c>
      <c r="H3" t="s">
        <v>18</v>
      </c>
      <c r="K3" t="s">
        <v>12</v>
      </c>
      <c r="L3" t="s">
        <v>13</v>
      </c>
      <c r="M3" t="s">
        <v>14</v>
      </c>
      <c r="N3" t="s">
        <v>15</v>
      </c>
      <c r="O3" t="s">
        <v>16</v>
      </c>
      <c r="P3" t="s">
        <v>17</v>
      </c>
    </row>
    <row r="4" spans="1:16" x14ac:dyDescent="0.35">
      <c r="A4" s="1">
        <v>45292</v>
      </c>
      <c r="B4" s="2">
        <v>45990.680710993198</v>
      </c>
      <c r="C4" s="2">
        <v>40552.043813305303</v>
      </c>
      <c r="D4" s="2">
        <v>46830.144110427602</v>
      </c>
      <c r="E4" s="2">
        <v>46894.476712788797</v>
      </c>
      <c r="F4" s="2">
        <v>48895.397590362103</v>
      </c>
      <c r="G4" s="2">
        <v>48809.485721882098</v>
      </c>
      <c r="H4" s="2">
        <v>46886.061121299397</v>
      </c>
      <c r="I4" s="2"/>
      <c r="J4" s="1">
        <v>45292</v>
      </c>
      <c r="K4" s="3">
        <v>13432</v>
      </c>
      <c r="L4" s="3">
        <v>5685</v>
      </c>
      <c r="M4" s="3">
        <v>7844</v>
      </c>
      <c r="N4" s="3">
        <v>7470</v>
      </c>
      <c r="O4" s="3">
        <v>5957</v>
      </c>
      <c r="P4" s="3">
        <v>6843</v>
      </c>
    </row>
    <row r="5" spans="1:16" x14ac:dyDescent="0.35">
      <c r="A5" s="1">
        <v>45323</v>
      </c>
      <c r="B5" s="2">
        <v>45921.581194884799</v>
      </c>
      <c r="C5" s="2">
        <v>41132.824796011497</v>
      </c>
      <c r="D5" s="2">
        <v>46729.810456396801</v>
      </c>
      <c r="E5" s="2">
        <v>46732.802736737904</v>
      </c>
      <c r="F5" s="2">
        <v>48145.4521756588</v>
      </c>
      <c r="G5" s="2">
        <v>48118.9239119552</v>
      </c>
      <c r="H5" s="2">
        <v>46849.6872673611</v>
      </c>
      <c r="I5" s="2"/>
      <c r="J5" s="1">
        <v>45323</v>
      </c>
      <c r="K5" s="3">
        <v>11490</v>
      </c>
      <c r="L5" s="3">
        <v>5921</v>
      </c>
      <c r="M5" s="3">
        <v>8778</v>
      </c>
      <c r="N5" s="3">
        <v>9445</v>
      </c>
      <c r="O5" s="3">
        <v>7577</v>
      </c>
      <c r="P5" s="3">
        <v>8430</v>
      </c>
    </row>
    <row r="6" spans="1:16" x14ac:dyDescent="0.35">
      <c r="A6" s="1">
        <v>45352</v>
      </c>
      <c r="B6" s="2">
        <v>46453.005866377302</v>
      </c>
      <c r="C6" s="2">
        <v>41978.396067112801</v>
      </c>
      <c r="D6" s="2">
        <v>46313.5738159256</v>
      </c>
      <c r="E6" s="2">
        <v>46098.808110150203</v>
      </c>
      <c r="F6" s="2">
        <v>47823.202883836602</v>
      </c>
      <c r="G6" s="2">
        <v>47830.274386021498</v>
      </c>
      <c r="H6" s="2">
        <v>46762.412905454003</v>
      </c>
      <c r="I6" s="2"/>
      <c r="J6" s="1">
        <v>45352</v>
      </c>
      <c r="K6" s="3">
        <v>13546</v>
      </c>
      <c r="L6" s="3">
        <v>4959</v>
      </c>
      <c r="M6" s="3">
        <v>9898</v>
      </c>
      <c r="N6" s="3">
        <v>12443</v>
      </c>
      <c r="O6" s="3">
        <v>8958</v>
      </c>
      <c r="P6" s="3">
        <v>10062</v>
      </c>
    </row>
    <row r="7" spans="1:16" x14ac:dyDescent="0.35">
      <c r="A7" s="1">
        <v>45383</v>
      </c>
      <c r="B7" s="2">
        <v>45877.920989254402</v>
      </c>
      <c r="C7" s="2">
        <v>42563.146428976899</v>
      </c>
      <c r="D7" s="2">
        <v>46655.750890196403</v>
      </c>
      <c r="E7" s="2">
        <v>46263.385323442897</v>
      </c>
      <c r="F7" s="2">
        <v>47166.739526011901</v>
      </c>
      <c r="G7" s="2">
        <v>47639.664995285602</v>
      </c>
      <c r="H7" s="2">
        <v>46823.593836450797</v>
      </c>
      <c r="I7" s="2"/>
      <c r="J7" s="1">
        <v>45383</v>
      </c>
      <c r="K7" s="3">
        <v>13664</v>
      </c>
      <c r="L7" s="3">
        <v>1992</v>
      </c>
      <c r="M7" s="3">
        <v>8329</v>
      </c>
      <c r="N7" s="3">
        <v>11680</v>
      </c>
      <c r="O7" s="3">
        <v>8385</v>
      </c>
      <c r="P7" s="3">
        <v>8833</v>
      </c>
    </row>
    <row r="8" spans="1:16" x14ac:dyDescent="0.35">
      <c r="A8" s="1">
        <v>45413</v>
      </c>
      <c r="B8" s="2">
        <v>45901.008959601597</v>
      </c>
      <c r="C8" s="2">
        <v>47973.273548507597</v>
      </c>
      <c r="D8" s="2">
        <v>46394.177448178001</v>
      </c>
      <c r="E8" s="2">
        <v>46219.550707980903</v>
      </c>
      <c r="F8" s="2">
        <v>46536.519633410302</v>
      </c>
      <c r="G8" s="2">
        <v>46683.991368046001</v>
      </c>
      <c r="H8" s="2">
        <v>46955.214589138697</v>
      </c>
      <c r="I8" s="2"/>
      <c r="J8" s="1">
        <v>45413</v>
      </c>
      <c r="K8" s="3">
        <v>12396</v>
      </c>
      <c r="L8" s="3">
        <v>8075</v>
      </c>
      <c r="M8" s="3">
        <v>7785</v>
      </c>
      <c r="N8" s="3">
        <v>12392</v>
      </c>
      <c r="O8" s="3">
        <v>8994</v>
      </c>
      <c r="P8" s="3">
        <v>10202</v>
      </c>
    </row>
    <row r="9" spans="1:16" x14ac:dyDescent="0.35">
      <c r="A9" s="1">
        <v>45444</v>
      </c>
      <c r="B9" s="2">
        <v>46804.906180145597</v>
      </c>
      <c r="C9" s="2">
        <v>47756.125281895896</v>
      </c>
      <c r="D9" s="2">
        <v>46648.884803439098</v>
      </c>
      <c r="E9" s="2">
        <v>46380.0925830126</v>
      </c>
      <c r="F9" s="2">
        <v>46250.926747573401</v>
      </c>
      <c r="G9" s="2">
        <v>46554.398627861199</v>
      </c>
      <c r="H9" s="2">
        <v>46983.396092988703</v>
      </c>
      <c r="I9" s="2"/>
      <c r="J9" s="1">
        <v>45444</v>
      </c>
      <c r="K9" s="3">
        <v>8232</v>
      </c>
      <c r="L9" s="3">
        <v>10446</v>
      </c>
      <c r="M9" s="3">
        <v>7709</v>
      </c>
      <c r="N9" s="3">
        <v>11568</v>
      </c>
      <c r="O9" s="3">
        <v>7898</v>
      </c>
      <c r="P9" s="3">
        <v>8780</v>
      </c>
    </row>
    <row r="10" spans="1:16" x14ac:dyDescent="0.35">
      <c r="A10" s="1">
        <v>45474</v>
      </c>
      <c r="B10" s="2">
        <v>45036.997584093697</v>
      </c>
      <c r="C10" s="2">
        <v>47124.970330600903</v>
      </c>
      <c r="D10" s="2">
        <v>47245.078723861101</v>
      </c>
      <c r="E10" s="2">
        <v>46257.670077271898</v>
      </c>
      <c r="F10" s="2">
        <v>45539.348012727802</v>
      </c>
      <c r="G10" s="2">
        <v>46049.936741069301</v>
      </c>
      <c r="H10" s="2">
        <v>45445.573560200501</v>
      </c>
      <c r="I10" s="2"/>
      <c r="J10" s="1">
        <v>45474</v>
      </c>
      <c r="K10" s="3">
        <v>8523</v>
      </c>
      <c r="L10" s="3">
        <v>8502</v>
      </c>
      <c r="M10" s="3">
        <v>5452</v>
      </c>
      <c r="N10" s="3">
        <v>11889</v>
      </c>
      <c r="O10" s="3">
        <v>7991</v>
      </c>
      <c r="P10" s="3">
        <v>9000</v>
      </c>
    </row>
    <row r="11" spans="1:16" x14ac:dyDescent="0.35">
      <c r="A11" s="1">
        <v>45505</v>
      </c>
      <c r="B11" s="2">
        <v>49046.555313338598</v>
      </c>
      <c r="C11" s="2">
        <v>47129.404615920299</v>
      </c>
      <c r="D11" s="2">
        <v>47865.706797891602</v>
      </c>
      <c r="E11" s="2">
        <v>46029.107600673997</v>
      </c>
      <c r="F11" s="2">
        <v>46115.417773480702</v>
      </c>
      <c r="G11" s="2">
        <v>46040.775124910702</v>
      </c>
      <c r="H11" s="2">
        <v>45998.714103558101</v>
      </c>
      <c r="I11" s="2"/>
      <c r="J11" s="1">
        <v>45505</v>
      </c>
      <c r="K11" s="3">
        <v>10358</v>
      </c>
      <c r="L11" s="3">
        <v>9894</v>
      </c>
      <c r="M11" s="3">
        <v>4937</v>
      </c>
      <c r="N11" s="3">
        <v>13845</v>
      </c>
      <c r="O11" s="3">
        <v>9879</v>
      </c>
      <c r="P11" s="3">
        <v>10157</v>
      </c>
    </row>
    <row r="12" spans="1:16" x14ac:dyDescent="0.35">
      <c r="A12" s="1">
        <v>45536</v>
      </c>
      <c r="B12" s="2">
        <v>50254.265233152299</v>
      </c>
      <c r="C12" s="2">
        <v>47591.386243907204</v>
      </c>
      <c r="D12" s="2">
        <v>49399.147706551099</v>
      </c>
      <c r="E12" s="2">
        <v>45819.159113530302</v>
      </c>
      <c r="F12" s="2">
        <v>46655.725837701197</v>
      </c>
      <c r="G12" s="2">
        <v>46015.528948468702</v>
      </c>
      <c r="H12" s="2">
        <v>46497.350417112903</v>
      </c>
      <c r="I12" s="2"/>
      <c r="J12" s="1">
        <v>45536</v>
      </c>
      <c r="K12" s="3">
        <v>8039</v>
      </c>
      <c r="L12" s="3">
        <v>7606</v>
      </c>
      <c r="M12" s="3">
        <v>4200</v>
      </c>
      <c r="N12" s="3">
        <v>10474</v>
      </c>
      <c r="O12" s="3">
        <v>6868</v>
      </c>
      <c r="P12" s="3">
        <v>7946</v>
      </c>
    </row>
    <row r="13" spans="1:16" x14ac:dyDescent="0.35">
      <c r="A13" s="1">
        <v>45566</v>
      </c>
      <c r="B13" s="2">
        <v>49906.018358178902</v>
      </c>
      <c r="C13" s="2">
        <v>47515.683795877303</v>
      </c>
      <c r="D13" s="2">
        <v>50683.554309572297</v>
      </c>
      <c r="E13" s="2">
        <v>45910.548566102101</v>
      </c>
      <c r="F13" s="2">
        <v>46953.457538019597</v>
      </c>
      <c r="G13" s="2">
        <v>46257.027509260501</v>
      </c>
      <c r="H13" s="2">
        <v>46766.107300759199</v>
      </c>
      <c r="I13" s="2"/>
      <c r="J13" s="1">
        <v>45566</v>
      </c>
      <c r="K13" s="3">
        <v>12430</v>
      </c>
      <c r="L13" s="3">
        <v>8610</v>
      </c>
      <c r="M13" s="3">
        <v>4657</v>
      </c>
      <c r="N13" s="3">
        <v>11686</v>
      </c>
      <c r="O13" s="3">
        <v>7414</v>
      </c>
      <c r="P13" s="3">
        <v>9273</v>
      </c>
    </row>
    <row r="14" spans="1:16" x14ac:dyDescent="0.35">
      <c r="A14" s="1">
        <v>45597</v>
      </c>
      <c r="B14" s="2">
        <v>49554.376909000901</v>
      </c>
      <c r="C14" s="2">
        <v>48060.406196771502</v>
      </c>
      <c r="D14" s="2">
        <v>51310.982923403302</v>
      </c>
      <c r="E14" s="2">
        <v>45782.490625810598</v>
      </c>
      <c r="F14" s="2">
        <v>46683.712280587199</v>
      </c>
      <c r="G14" s="2">
        <v>46427.433787595197</v>
      </c>
      <c r="H14" s="2">
        <v>46813.192223519902</v>
      </c>
      <c r="I14" s="2"/>
      <c r="J14" s="1">
        <v>45597</v>
      </c>
      <c r="K14" s="3">
        <v>10486</v>
      </c>
      <c r="L14" s="3">
        <v>8920</v>
      </c>
      <c r="M14" s="3">
        <v>3618</v>
      </c>
      <c r="N14" s="3">
        <v>12399</v>
      </c>
      <c r="O14" s="3">
        <v>7747</v>
      </c>
      <c r="P14" s="3">
        <v>9701</v>
      </c>
    </row>
    <row r="15" spans="1:16" x14ac:dyDescent="0.35">
      <c r="A15" s="1">
        <v>45627</v>
      </c>
      <c r="B15" s="2">
        <v>49433.977753091101</v>
      </c>
      <c r="C15" s="2">
        <v>47883.893539924902</v>
      </c>
      <c r="D15" s="2">
        <v>52435.197365702203</v>
      </c>
      <c r="E15" s="2">
        <v>45705.529662262597</v>
      </c>
      <c r="F15" s="2">
        <v>46645.4136631492</v>
      </c>
      <c r="G15" s="2">
        <v>46209.294884816598</v>
      </c>
      <c r="H15" s="2">
        <v>46767.804243685503</v>
      </c>
      <c r="I15" s="2"/>
      <c r="J15" s="1">
        <v>45627</v>
      </c>
      <c r="K15" s="3">
        <v>11281</v>
      </c>
      <c r="L15" s="3">
        <v>9117</v>
      </c>
      <c r="M15" s="3">
        <v>2985</v>
      </c>
      <c r="N15" s="3">
        <v>13323</v>
      </c>
      <c r="O15" s="3">
        <v>8275</v>
      </c>
      <c r="P15" s="3">
        <v>10657</v>
      </c>
    </row>
    <row r="16" spans="1:16" x14ac:dyDescent="0.35">
      <c r="A16" s="1">
        <v>45658</v>
      </c>
      <c r="B16" s="2">
        <v>48987.188696853002</v>
      </c>
      <c r="C16" s="2">
        <v>48511.758254993001</v>
      </c>
      <c r="D16" s="2">
        <v>52101.691304982902</v>
      </c>
      <c r="E16" s="2">
        <v>45587.851047276003</v>
      </c>
      <c r="F16" s="2">
        <v>46009.157324054599</v>
      </c>
      <c r="G16" s="2">
        <v>46375.799004944201</v>
      </c>
      <c r="H16" s="2">
        <v>47144.733225767297</v>
      </c>
      <c r="I16" s="2"/>
      <c r="J16" s="1">
        <v>45658</v>
      </c>
      <c r="K16" s="3">
        <v>9782</v>
      </c>
      <c r="L16" s="3">
        <v>6001</v>
      </c>
      <c r="M16" s="3">
        <v>1871</v>
      </c>
      <c r="N16" s="3">
        <v>8662</v>
      </c>
      <c r="O16" s="3">
        <v>6381</v>
      </c>
      <c r="P16" s="3">
        <v>7701</v>
      </c>
    </row>
    <row r="17" spans="1:16" x14ac:dyDescent="0.35">
      <c r="A17" s="1">
        <v>45689</v>
      </c>
      <c r="B17" s="2">
        <v>49022.437229288596</v>
      </c>
      <c r="C17" s="2">
        <v>48713.4383931845</v>
      </c>
      <c r="D17" s="2">
        <v>51650.645426049297</v>
      </c>
      <c r="E17" s="2">
        <v>45833.044083777801</v>
      </c>
      <c r="F17" s="2">
        <v>46026.518863528901</v>
      </c>
      <c r="G17" s="2">
        <v>46057.378451476798</v>
      </c>
      <c r="H17" s="2">
        <v>47629.933597712901</v>
      </c>
      <c r="I17" s="2"/>
      <c r="J17" s="1">
        <v>45689</v>
      </c>
      <c r="K17" s="3">
        <v>9687</v>
      </c>
      <c r="L17" s="3">
        <v>7399</v>
      </c>
      <c r="M17" s="3">
        <v>2890</v>
      </c>
      <c r="N17" s="3">
        <v>10018</v>
      </c>
      <c r="O17" s="3">
        <v>6883</v>
      </c>
      <c r="P17" s="3">
        <v>8478</v>
      </c>
    </row>
    <row r="18" spans="1:16" x14ac:dyDescent="0.35">
      <c r="A18" s="1">
        <v>45717</v>
      </c>
      <c r="B18" s="2">
        <v>49167.139833428497</v>
      </c>
      <c r="C18" s="2">
        <v>48484.317854077199</v>
      </c>
      <c r="D18" s="2">
        <v>51768.473639646298</v>
      </c>
      <c r="E18" s="2">
        <v>46078.0202678516</v>
      </c>
      <c r="F18" s="2">
        <v>46067.882764138398</v>
      </c>
      <c r="G18" s="2">
        <v>46307.223112647902</v>
      </c>
      <c r="H18" s="2">
        <v>47618.796117655998</v>
      </c>
      <c r="I18" s="2"/>
      <c r="J18" s="1">
        <v>45717</v>
      </c>
      <c r="K18" s="3">
        <v>11752</v>
      </c>
      <c r="L18" s="3">
        <v>11039</v>
      </c>
      <c r="M18" s="3">
        <v>4313</v>
      </c>
      <c r="N18" s="3">
        <v>13402</v>
      </c>
      <c r="O18" s="3">
        <v>10609</v>
      </c>
      <c r="P18" s="3">
        <v>11362</v>
      </c>
    </row>
    <row r="19" spans="1:16" x14ac:dyDescent="0.35">
      <c r="A19" s="1">
        <v>45748</v>
      </c>
      <c r="B19" s="2">
        <v>48746.486124368501</v>
      </c>
      <c r="C19" s="2">
        <v>48379.855657535998</v>
      </c>
      <c r="D19" s="2">
        <v>51642.414173770099</v>
      </c>
      <c r="E19" s="2">
        <v>46561.877349483897</v>
      </c>
      <c r="F19" s="2">
        <v>45959.238433850202</v>
      </c>
      <c r="G19" s="2">
        <v>46399.301561328997</v>
      </c>
      <c r="H19" s="2">
        <v>48073.346945166901</v>
      </c>
      <c r="I19" s="2"/>
      <c r="J19" s="1">
        <v>45748</v>
      </c>
      <c r="K19" s="3">
        <v>14145</v>
      </c>
      <c r="L19" s="3">
        <v>11639</v>
      </c>
      <c r="M19" s="3">
        <v>4965</v>
      </c>
      <c r="N19" s="3">
        <v>11955</v>
      </c>
      <c r="O19" s="3">
        <v>8989</v>
      </c>
      <c r="P19" s="3">
        <v>10133</v>
      </c>
    </row>
    <row r="20" spans="1:16" x14ac:dyDescent="0.35">
      <c r="A20" s="1">
        <v>45778</v>
      </c>
      <c r="B20" s="2">
        <v>48753.019880605898</v>
      </c>
      <c r="C20" s="2">
        <v>48249.590193759803</v>
      </c>
      <c r="D20" s="2">
        <v>51551.755973112398</v>
      </c>
      <c r="E20" s="2">
        <v>46937.918212715696</v>
      </c>
      <c r="F20" s="2">
        <v>45386.8792634536</v>
      </c>
      <c r="G20" s="2">
        <v>46127.694021321797</v>
      </c>
      <c r="H20" s="2">
        <v>47873.847679546197</v>
      </c>
      <c r="I20" s="2"/>
      <c r="J20" s="1">
        <v>45778</v>
      </c>
      <c r="K20" s="3">
        <v>13482</v>
      </c>
      <c r="L20" s="3">
        <v>11513</v>
      </c>
      <c r="M20" s="3">
        <v>5202</v>
      </c>
      <c r="N20" s="3">
        <v>11006</v>
      </c>
      <c r="O20" s="3">
        <v>9113</v>
      </c>
      <c r="P20" s="3">
        <v>10405</v>
      </c>
    </row>
    <row r="21" spans="1:16" x14ac:dyDescent="0.35">
      <c r="A21" s="1">
        <v>45809</v>
      </c>
      <c r="B21" s="2">
        <v>47764.295140458104</v>
      </c>
      <c r="C21" s="2">
        <v>47542.0335168702</v>
      </c>
      <c r="D21" s="2">
        <v>51008.169970582603</v>
      </c>
      <c r="E21" s="2">
        <v>47163.350497275802</v>
      </c>
      <c r="F21" s="2">
        <v>45152.213927918601</v>
      </c>
      <c r="G21" s="2">
        <v>46050.753526932102</v>
      </c>
      <c r="H21" s="2">
        <v>47432.555957420998</v>
      </c>
      <c r="I21" s="2"/>
      <c r="J21" s="1">
        <v>45809</v>
      </c>
      <c r="K21" s="3">
        <v>11618</v>
      </c>
      <c r="L21" s="3">
        <v>9718</v>
      </c>
      <c r="M21" s="3">
        <v>3502</v>
      </c>
      <c r="N21" s="3">
        <v>8970</v>
      </c>
      <c r="O21" s="3">
        <v>7404</v>
      </c>
      <c r="P21" s="3">
        <v>8295</v>
      </c>
    </row>
    <row r="22" spans="1:16" x14ac:dyDescent="0.35">
      <c r="A22" s="1">
        <v>45839</v>
      </c>
      <c r="B22" s="2">
        <v>46121.679669148303</v>
      </c>
      <c r="C22" s="2">
        <v>47561.744766138501</v>
      </c>
      <c r="D22" s="2">
        <v>50886.160850898101</v>
      </c>
      <c r="E22" s="2">
        <v>47439.741215232098</v>
      </c>
      <c r="F22" s="2">
        <v>43412.412524930704</v>
      </c>
      <c r="G22" s="2">
        <v>45768.712379315002</v>
      </c>
      <c r="H22" s="2">
        <v>46433.6433812627</v>
      </c>
      <c r="I22" s="2"/>
      <c r="J22" s="1">
        <v>45839</v>
      </c>
      <c r="K22" s="3">
        <v>13838</v>
      </c>
      <c r="L22" s="3">
        <v>10713</v>
      </c>
      <c r="M22" s="3">
        <v>3200</v>
      </c>
      <c r="N22" s="3">
        <v>9705</v>
      </c>
      <c r="O22" s="3">
        <v>12710</v>
      </c>
      <c r="P22" s="3">
        <v>8854</v>
      </c>
    </row>
    <row r="23" spans="1:16" x14ac:dyDescent="0.35">
      <c r="A23" s="1">
        <v>45870</v>
      </c>
      <c r="B23" s="2">
        <v>46417.823610367297</v>
      </c>
      <c r="C23" s="2">
        <v>48738.982721221502</v>
      </c>
      <c r="D23" s="2">
        <v>50814.952150183497</v>
      </c>
      <c r="E23" s="2">
        <v>47268.696072468498</v>
      </c>
      <c r="F23" s="2">
        <v>46598.337207741803</v>
      </c>
      <c r="G23" s="2">
        <v>45793.824245111799</v>
      </c>
      <c r="H23" s="2">
        <v>47267.202510766103</v>
      </c>
      <c r="I23" s="2"/>
      <c r="J23" s="1">
        <v>45870</v>
      </c>
      <c r="K23" s="3">
        <v>16183</v>
      </c>
      <c r="L23" s="3">
        <v>12297</v>
      </c>
      <c r="M23" s="3">
        <v>3376</v>
      </c>
      <c r="N23" s="3">
        <v>10540</v>
      </c>
      <c r="O23" s="3">
        <v>14941</v>
      </c>
      <c r="P23" s="3">
        <v>9212</v>
      </c>
    </row>
    <row r="24" spans="1:16" x14ac:dyDescent="0.35">
      <c r="A24" s="1">
        <v>45901</v>
      </c>
      <c r="B24" s="2">
        <v>45856.348107984602</v>
      </c>
      <c r="C24" s="2">
        <v>49066.732373467203</v>
      </c>
      <c r="D24" s="2">
        <v>51188.421128727801</v>
      </c>
      <c r="E24" s="2">
        <v>46604.145056141198</v>
      </c>
      <c r="F24" s="2">
        <v>51312.9311238726</v>
      </c>
      <c r="G24" s="2">
        <v>45568.060007551197</v>
      </c>
      <c r="H24" s="2">
        <v>47924.216324305497</v>
      </c>
      <c r="I24" s="2"/>
      <c r="J24" s="1">
        <v>45901</v>
      </c>
      <c r="K24" s="3">
        <v>13182</v>
      </c>
      <c r="L24" s="3">
        <v>10141</v>
      </c>
      <c r="M24" s="3">
        <v>3878</v>
      </c>
      <c r="N24" s="3">
        <v>8549</v>
      </c>
      <c r="O24" s="3">
        <v>6308</v>
      </c>
      <c r="P24" s="3">
        <v>6783</v>
      </c>
    </row>
    <row r="25" spans="1:16" x14ac:dyDescent="0.35">
      <c r="A25" s="1"/>
      <c r="B25" s="2"/>
      <c r="C25" s="2"/>
      <c r="D25" s="2"/>
      <c r="E25" s="2"/>
      <c r="F25" s="2"/>
      <c r="G25" s="2"/>
      <c r="H25" s="2"/>
      <c r="I25" s="2"/>
    </row>
    <row r="27" spans="1:16" x14ac:dyDescent="0.35">
      <c r="B27" t="s">
        <v>12</v>
      </c>
      <c r="C27" t="s">
        <v>13</v>
      </c>
      <c r="D27" t="s">
        <v>14</v>
      </c>
      <c r="E27" t="s">
        <v>15</v>
      </c>
      <c r="F27" t="s">
        <v>16</v>
      </c>
      <c r="G27" t="s">
        <v>17</v>
      </c>
      <c r="K27" t="s">
        <v>12</v>
      </c>
      <c r="L27" t="s">
        <v>13</v>
      </c>
      <c r="M27" t="s">
        <v>14</v>
      </c>
      <c r="N27" t="s">
        <v>15</v>
      </c>
      <c r="O27" t="s">
        <v>16</v>
      </c>
      <c r="P27" t="s">
        <v>17</v>
      </c>
    </row>
    <row r="28" spans="1:16" x14ac:dyDescent="0.35">
      <c r="A28" t="s">
        <v>19</v>
      </c>
      <c r="B28" s="4">
        <f>SUMPRODUCT(B4:B6,K4:K6)/SUM(K4:K6)</f>
        <v>46132.843108693822</v>
      </c>
      <c r="C28" s="4">
        <f t="shared" ref="C28:G28" si="0">SUMPRODUCT(C4:C6,L4:L6)/SUM(L4:L6)</f>
        <v>41186.63995126092</v>
      </c>
      <c r="D28" s="4">
        <f t="shared" si="0"/>
        <v>46604.135754844523</v>
      </c>
      <c r="E28" s="4">
        <f t="shared" si="0"/>
        <v>46505.229654868199</v>
      </c>
      <c r="F28" s="4">
        <f t="shared" si="0"/>
        <v>48215.731193942825</v>
      </c>
      <c r="G28" s="4">
        <f t="shared" si="0"/>
        <v>48190.805614555742</v>
      </c>
      <c r="J28" t="s">
        <v>19</v>
      </c>
      <c r="K28" s="3">
        <f>SUM(K4:K6)</f>
        <v>38468</v>
      </c>
      <c r="L28" s="3">
        <f t="shared" ref="L28:P28" si="1">SUM(L4:L6)</f>
        <v>16565</v>
      </c>
      <c r="M28" s="3">
        <f t="shared" si="1"/>
        <v>26520</v>
      </c>
      <c r="N28" s="3">
        <f t="shared" si="1"/>
        <v>29358</v>
      </c>
      <c r="O28" s="3">
        <f t="shared" si="1"/>
        <v>22492</v>
      </c>
      <c r="P28" s="3">
        <f t="shared" si="1"/>
        <v>25335</v>
      </c>
    </row>
    <row r="29" spans="1:16" x14ac:dyDescent="0.35">
      <c r="A29" t="s">
        <v>20</v>
      </c>
      <c r="B29" s="4">
        <f t="shared" ref="B29:G29" si="2">SUMPRODUCT(B7:B9,K7:K9)/SUM(K7:K9)</f>
        <v>46108.795262316344</v>
      </c>
      <c r="C29" s="4">
        <f t="shared" si="2"/>
        <v>47337.320542358764</v>
      </c>
      <c r="D29" s="4">
        <f t="shared" si="2"/>
        <v>46568.050772288268</v>
      </c>
      <c r="E29" s="4">
        <f t="shared" si="2"/>
        <v>46286.02480222789</v>
      </c>
      <c r="F29" s="4">
        <f t="shared" si="2"/>
        <v>46656.343235385393</v>
      </c>
      <c r="G29" s="4">
        <f t="shared" si="2"/>
        <v>46946.570583957728</v>
      </c>
      <c r="J29" t="s">
        <v>20</v>
      </c>
      <c r="K29" s="3">
        <f>SUM(K7:K9)</f>
        <v>34292</v>
      </c>
      <c r="L29" s="3">
        <f t="shared" ref="L29:P29" si="3">SUM(L7:L9)</f>
        <v>20513</v>
      </c>
      <c r="M29" s="3">
        <f t="shared" si="3"/>
        <v>23823</v>
      </c>
      <c r="N29" s="3">
        <f t="shared" si="3"/>
        <v>35640</v>
      </c>
      <c r="O29" s="3">
        <f t="shared" si="3"/>
        <v>25277</v>
      </c>
      <c r="P29" s="3">
        <f t="shared" si="3"/>
        <v>27815</v>
      </c>
    </row>
    <row r="30" spans="1:16" x14ac:dyDescent="0.35">
      <c r="A30" t="s">
        <v>21</v>
      </c>
      <c r="B30" s="4">
        <f t="shared" ref="B30:G30" si="4">SUMPRODUCT(B10:B12,K10:K12)/SUM(K10:K12)</f>
        <v>48137.763319246027</v>
      </c>
      <c r="C30" s="4">
        <f t="shared" si="4"/>
        <v>47263.09171570812</v>
      </c>
      <c r="D30" s="4">
        <f t="shared" si="4"/>
        <v>48075.233671341157</v>
      </c>
      <c r="E30" s="4">
        <f t="shared" si="4"/>
        <v>46043.424293944248</v>
      </c>
      <c r="F30" s="4">
        <f t="shared" si="4"/>
        <v>46079.338152124488</v>
      </c>
      <c r="G30" s="4">
        <f t="shared" si="4"/>
        <v>46036.415770869426</v>
      </c>
      <c r="J30" t="s">
        <v>21</v>
      </c>
      <c r="K30" s="3">
        <f>SUM(K10:K12)</f>
        <v>26920</v>
      </c>
      <c r="L30" s="3">
        <f t="shared" ref="L30:P30" si="5">SUM(L10:L12)</f>
        <v>26002</v>
      </c>
      <c r="M30" s="3">
        <f t="shared" si="5"/>
        <v>14589</v>
      </c>
      <c r="N30" s="3">
        <f t="shared" si="5"/>
        <v>36208</v>
      </c>
      <c r="O30" s="3">
        <f t="shared" si="5"/>
        <v>24738</v>
      </c>
      <c r="P30" s="3">
        <f t="shared" si="5"/>
        <v>27103</v>
      </c>
    </row>
    <row r="31" spans="1:16" x14ac:dyDescent="0.35">
      <c r="A31" t="s">
        <v>22</v>
      </c>
      <c r="B31" s="4">
        <f t="shared" ref="B31:G31" si="6">SUMPRODUCT(B13:B15,K13:K15)/SUM(K13:K15)</f>
        <v>49642.474705166176</v>
      </c>
      <c r="C31" s="4">
        <f t="shared" si="6"/>
        <v>47824.007136308057</v>
      </c>
      <c r="D31" s="4">
        <f t="shared" si="6"/>
        <v>51349.512679677828</v>
      </c>
      <c r="E31" s="4">
        <f t="shared" si="6"/>
        <v>45795.085102203258</v>
      </c>
      <c r="F31" s="4">
        <f t="shared" si="6"/>
        <v>46755.523608429176</v>
      </c>
      <c r="G31" s="4">
        <f t="shared" si="6"/>
        <v>46295.65005751828</v>
      </c>
      <c r="J31" t="s">
        <v>22</v>
      </c>
      <c r="K31" s="3">
        <f>SUM(K13:K15)</f>
        <v>34197</v>
      </c>
      <c r="L31" s="3">
        <f t="shared" ref="L31:P31" si="7">SUM(L13:L15)</f>
        <v>26647</v>
      </c>
      <c r="M31" s="3">
        <f t="shared" si="7"/>
        <v>11260</v>
      </c>
      <c r="N31" s="3">
        <f t="shared" si="7"/>
        <v>37408</v>
      </c>
      <c r="O31" s="3">
        <f t="shared" si="7"/>
        <v>23436</v>
      </c>
      <c r="P31" s="3">
        <f t="shared" si="7"/>
        <v>29631</v>
      </c>
    </row>
    <row r="32" spans="1:16" x14ac:dyDescent="0.35">
      <c r="A32" t="s">
        <v>23</v>
      </c>
      <c r="B32" s="4">
        <f t="shared" ref="B32:G32" si="8">SUMPRODUCT(B16:B18,K16:K18)/SUM(K16:K18)</f>
        <v>49065.861330360531</v>
      </c>
      <c r="C32" s="4">
        <f t="shared" si="8"/>
        <v>48560.422961272692</v>
      </c>
      <c r="D32" s="4">
        <f t="shared" si="8"/>
        <v>51799.653572922631</v>
      </c>
      <c r="E32" s="4">
        <f t="shared" si="8"/>
        <v>45869.179883814533</v>
      </c>
      <c r="F32" s="4">
        <f t="shared" si="8"/>
        <v>46040.260146073218</v>
      </c>
      <c r="G32" s="4">
        <f t="shared" si="8"/>
        <v>46249.488096096771</v>
      </c>
      <c r="J32" t="s">
        <v>23</v>
      </c>
      <c r="K32" s="3">
        <f>SUM(K16:K18)</f>
        <v>31221</v>
      </c>
      <c r="L32" s="3">
        <f t="shared" ref="L32:P32" si="9">SUM(L16:L18)</f>
        <v>24439</v>
      </c>
      <c r="M32" s="3">
        <f t="shared" si="9"/>
        <v>9074</v>
      </c>
      <c r="N32" s="3">
        <f t="shared" si="9"/>
        <v>32082</v>
      </c>
      <c r="O32" s="3">
        <f t="shared" si="9"/>
        <v>23873</v>
      </c>
      <c r="P32" s="3">
        <f t="shared" si="9"/>
        <v>27541</v>
      </c>
    </row>
    <row r="33" spans="1:16" x14ac:dyDescent="0.35">
      <c r="A33" t="s">
        <v>24</v>
      </c>
      <c r="B33" s="4">
        <f t="shared" ref="B33:G33" si="10">SUMPRODUCT(B19:B21,K19:K21)/SUM(K19:K21)</f>
        <v>48457.965121706293</v>
      </c>
      <c r="C33" s="4">
        <f t="shared" si="10"/>
        <v>48086.527338477725</v>
      </c>
      <c r="D33" s="4">
        <f t="shared" si="10"/>
        <v>51445.418990553771</v>
      </c>
      <c r="E33" s="4">
        <f t="shared" si="10"/>
        <v>46860.456156174027</v>
      </c>
      <c r="F33" s="4">
        <f t="shared" si="10"/>
        <v>45520.474277897018</v>
      </c>
      <c r="G33" s="4">
        <f t="shared" si="10"/>
        <v>46201.012018128597</v>
      </c>
      <c r="J33" t="s">
        <v>24</v>
      </c>
      <c r="K33" s="3">
        <f>SUM(K19:K21)</f>
        <v>39245</v>
      </c>
      <c r="L33" s="3">
        <f t="shared" ref="L33:P33" si="11">SUM(L19:L21)</f>
        <v>32870</v>
      </c>
      <c r="M33" s="3">
        <f t="shared" si="11"/>
        <v>13669</v>
      </c>
      <c r="N33" s="3">
        <f t="shared" si="11"/>
        <v>31931</v>
      </c>
      <c r="O33" s="3">
        <f t="shared" si="11"/>
        <v>25506</v>
      </c>
      <c r="P33" s="3">
        <f t="shared" si="11"/>
        <v>28833</v>
      </c>
    </row>
    <row r="34" spans="1:16" x14ac:dyDescent="0.35">
      <c r="A34" t="s">
        <v>25</v>
      </c>
      <c r="B34" s="4">
        <f t="shared" ref="B34:G34" si="12">SUMPRODUCT(B22:B24,K22:K24)/SUM(K22:K24)</f>
        <v>46151.652049804441</v>
      </c>
      <c r="C34" s="4">
        <f t="shared" si="12"/>
        <v>48458.808940962059</v>
      </c>
      <c r="D34" s="4">
        <f t="shared" si="12"/>
        <v>50975.290828304933</v>
      </c>
      <c r="E34" s="4">
        <f t="shared" si="12"/>
        <v>47129.040118864927</v>
      </c>
      <c r="F34" s="4">
        <f t="shared" si="12"/>
        <v>46281.677580085634</v>
      </c>
      <c r="G34" s="4">
        <f t="shared" si="12"/>
        <v>45723.250005378271</v>
      </c>
      <c r="J34" t="s">
        <v>25</v>
      </c>
      <c r="K34" s="3">
        <f>SUM(K22:K24)</f>
        <v>43203</v>
      </c>
      <c r="L34" s="3">
        <f t="shared" ref="L34:P34" si="13">SUM(L22:L24)</f>
        <v>33151</v>
      </c>
      <c r="M34" s="3">
        <f t="shared" si="13"/>
        <v>10454</v>
      </c>
      <c r="N34" s="3">
        <f t="shared" si="13"/>
        <v>28794</v>
      </c>
      <c r="O34" s="3">
        <f t="shared" si="13"/>
        <v>33959</v>
      </c>
      <c r="P34" s="3">
        <f t="shared" si="13"/>
        <v>24849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37d9bab-56fb-4e0f-803f-4d880a634d4e" xsi:nil="true"/>
    <lcf76f155ced4ddcb4097134ff3c332f xmlns="363a9119-96fb-4530-bcdc-9ac62d26b66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AA11FC9290BEF4CB2E1BF947F769288" ma:contentTypeVersion="19" ma:contentTypeDescription="Create a new document." ma:contentTypeScope="" ma:versionID="06a0c8dbe8818e10bc8b19533a8483b0">
  <xsd:schema xmlns:xsd="http://www.w3.org/2001/XMLSchema" xmlns:xs="http://www.w3.org/2001/XMLSchema" xmlns:p="http://schemas.microsoft.com/office/2006/metadata/properties" xmlns:ns2="363a9119-96fb-4530-bcdc-9ac62d26b669" xmlns:ns3="c37d9bab-56fb-4e0f-803f-4d880a634d4e" targetNamespace="http://schemas.microsoft.com/office/2006/metadata/properties" ma:root="true" ma:fieldsID="7cb3f96a424c05c65d179776794c503c" ns2:_="" ns3:_="">
    <xsd:import namespace="363a9119-96fb-4530-bcdc-9ac62d26b669"/>
    <xsd:import namespace="c37d9bab-56fb-4e0f-803f-4d880a634d4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bjectDetectorVersions" minOccurs="0"/>
                <xsd:element ref="ns2:MediaLengthInSecond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3a9119-96fb-4530-bcdc-9ac62d26b6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6f62536-3a25-4b8a-9b5d-7e17d0b0464e"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7d9bab-56fb-4e0f-803f-4d880a634d4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a196ad5-f917-45e4-8b2a-3639e5b015ec}" ma:internalName="TaxCatchAll" ma:showField="CatchAllData" ma:web="c37d9bab-56fb-4e0f-803f-4d880a634d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B1350D-97B6-4F16-9C32-D03DB2219777}">
  <ds:schemaRefs>
    <ds:schemaRef ds:uri="http://schemas.microsoft.com/office/2006/metadata/properties"/>
    <ds:schemaRef ds:uri="http://schemas.microsoft.com/office/infopath/2007/PartnerControls"/>
    <ds:schemaRef ds:uri="c37d9bab-56fb-4e0f-803f-4d880a634d4e"/>
    <ds:schemaRef ds:uri="363a9119-96fb-4530-bcdc-9ac62d26b669"/>
  </ds:schemaRefs>
</ds:datastoreItem>
</file>

<file path=customXml/itemProps2.xml><?xml version="1.0" encoding="utf-8"?>
<ds:datastoreItem xmlns:ds="http://schemas.openxmlformats.org/officeDocument/2006/customXml" ds:itemID="{F4D9C7ED-6AA1-4A7B-9FEF-4E035C5082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3a9119-96fb-4530-bcdc-9ac62d26b669"/>
    <ds:schemaRef ds:uri="c37d9bab-56fb-4e0f-803f-4d880a634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E38388-9C0F-4AAA-AAEF-F3989A62405F}">
  <ds:schemaRefs>
    <ds:schemaRef ds:uri="http://schemas.microsoft.com/sharepoint/v3/contenttype/forms"/>
  </ds:schemaRefs>
</ds:datastoreItem>
</file>

<file path=docMetadata/LabelInfo.xml><?xml version="1.0" encoding="utf-8"?>
<clbl:labelList xmlns:clbl="http://schemas.microsoft.com/office/2020/mipLabelMetadata">
  <clbl:label id="{4287bb64-a677-4999-a7e1-c729498cafc7}" enabled="1" method="Standard" siteId="{c990bb7a-51f4-439b-bd36-9c07fb1041c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Inteview Question</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Hoffman, Brandon (B.)</dc:creator>
  <cp:keywords/>
  <dc:description/>
  <cp:lastModifiedBy>Snook, Laurel (L.)</cp:lastModifiedBy>
  <cp:revision/>
  <cp:lastPrinted>2025-12-02T17:59:28Z</cp:lastPrinted>
  <dcterms:created xsi:type="dcterms:W3CDTF">2025-11-06T20:54:09Z</dcterms:created>
  <dcterms:modified xsi:type="dcterms:W3CDTF">2026-09-04T22:42:34Z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0x0101009AA11FC9290BEF4CB2E1BF947F769288</vt:lpwstr>
  </property>
  <property fmtid="{D5CDD505-2E9C-101B-9397-08002B2CF9AE}" pid="3" name="MediaServiceImageTags">
    <vt:lpwstr/>
  </property>
</Properties>
</file>